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from-desktop\учеба\6 СЕМ\6. Методы обработки изображений\ipm-lab-1\docs\"/>
    </mc:Choice>
  </mc:AlternateContent>
  <xr:revisionPtr revIDLastSave="0" documentId="13_ncr:1_{2A5659EB-AFB3-48C6-B6D6-8BD70202584F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Лист1" sheetId="1" r:id="rId1"/>
    <sheet name="Лист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H4" i="1"/>
  <c r="J4" i="1" s="1"/>
  <c r="F4" i="1" s="1"/>
  <c r="G4" i="1"/>
  <c r="H5" i="1"/>
  <c r="G5" i="1"/>
  <c r="J5" i="1"/>
  <c r="F5" i="1" s="1"/>
  <c r="I5" i="1"/>
  <c r="E4" i="1" l="1"/>
  <c r="D4" i="1"/>
  <c r="E5" i="1"/>
  <c r="D5" i="1"/>
</calcChain>
</file>

<file path=xl/sharedStrings.xml><?xml version="1.0" encoding="utf-8"?>
<sst xmlns="http://schemas.openxmlformats.org/spreadsheetml/2006/main" count="54" uniqueCount="52">
  <si>
    <t>x</t>
  </si>
  <si>
    <t>y</t>
  </si>
  <si>
    <t>z</t>
  </si>
  <si>
    <t>I_01</t>
  </si>
  <si>
    <t>I_02</t>
  </si>
  <si>
    <t>цветная сила источника в направлении оси O</t>
  </si>
  <si>
    <t>O_1</t>
  </si>
  <si>
    <t>O_2</t>
  </si>
  <si>
    <t>направление оси источника света</t>
  </si>
  <si>
    <t>P_L1</t>
  </si>
  <si>
    <t>P_L2</t>
  </si>
  <si>
    <t>P_0</t>
  </si>
  <si>
    <t>P_1</t>
  </si>
  <si>
    <t>P_2</t>
  </si>
  <si>
    <t>V</t>
  </si>
  <si>
    <t>K</t>
  </si>
  <si>
    <t>k_d</t>
  </si>
  <si>
    <t>k_s</t>
  </si>
  <si>
    <t>k_e</t>
  </si>
  <si>
    <t>локальная координата</t>
  </si>
  <si>
    <t>коэффициент диффузного отражения поверхности</t>
  </si>
  <si>
    <t>коэффициент зеркального отражения поверхности</t>
  </si>
  <si>
    <t>коэффициент, определяющий ширину блика</t>
  </si>
  <si>
    <t>глобальная координата вершины треугольника</t>
  </si>
  <si>
    <t>глобальная координата источника света</t>
  </si>
  <si>
    <t>глобальная координата наблюдателя</t>
  </si>
  <si>
    <t>цвет поверхности</t>
  </si>
  <si>
    <t>P_T1</t>
  </si>
  <si>
    <t>P_T2</t>
  </si>
  <si>
    <t>P_T3</t>
  </si>
  <si>
    <t>P_T4</t>
  </si>
  <si>
    <t>P_T5</t>
  </si>
  <si>
    <t>Получение глобальных координат точек</t>
  </si>
  <si>
    <r>
      <t>Получение cos(</t>
    </r>
    <r>
      <rPr>
        <sz val="11"/>
        <color theme="1"/>
        <rFont val="Aptos Narrow"/>
        <family val="2"/>
      </rPr>
      <t>ϑ) с помощью вектора оси источника света O и вектора направления на точку треугольника s</t>
    </r>
  </si>
  <si>
    <t>формула 1</t>
  </si>
  <si>
    <t>формула 3</t>
  </si>
  <si>
    <t>Получение вектора от точки плоскости до источника света (наоборот?)</t>
  </si>
  <si>
    <t>формула 5</t>
  </si>
  <si>
    <t>формула 2</t>
  </si>
  <si>
    <t>Получение среднего вектора h</t>
  </si>
  <si>
    <t>Получение цветной освещенности E</t>
  </si>
  <si>
    <r>
      <t xml:space="preserve">Получение расстояния от источника до точки треугольника R и косинуса угла 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 между направлением света s и нормалью к освещаемой поверхности N</t>
    </r>
  </si>
  <si>
    <r>
      <t xml:space="preserve">Получение цветной силы излучения I под углом </t>
    </r>
    <r>
      <rPr>
        <sz val="11"/>
        <color theme="1"/>
        <rFont val="Aptos Narrow"/>
        <family val="2"/>
      </rPr>
      <t>ϑ</t>
    </r>
    <r>
      <rPr>
        <sz val="11"/>
        <color theme="1"/>
        <rFont val="Calibri"/>
        <family val="2"/>
        <scheme val="minor"/>
      </rPr>
      <t xml:space="preserve"> с помощью косинуса из предыщего пункта и заданной силы излучения в направлении оси I_0</t>
    </r>
  </si>
  <si>
    <t>Получение вектора направления наблюдения v</t>
  </si>
  <si>
    <t>формула 8</t>
  </si>
  <si>
    <t>Применение функции двунаправленного отражения</t>
  </si>
  <si>
    <t>формула 7</t>
  </si>
  <si>
    <t>формула 6</t>
  </si>
  <si>
    <t>Получение яркости точки L</t>
  </si>
  <si>
    <t>№</t>
  </si>
  <si>
    <t>Действие</t>
  </si>
  <si>
    <t>Формула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</si>
</sst>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9" tint="-0.499984740745262"/>
      </left>
      <right/>
      <top style="medium">
        <color theme="9" tint="-0.499984740745262"/>
      </top>
      <bottom/>
      <diagonal/>
    </border>
    <border>
      <left/>
      <right/>
      <top style="medium">
        <color theme="9" tint="-0.499984740745262"/>
      </top>
      <bottom/>
      <diagonal/>
    </border>
    <border>
      <left/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/>
      <top/>
      <bottom style="medium">
        <color theme="9" tint="-0.499984740745262"/>
      </bottom>
      <diagonal/>
    </border>
    <border>
      <left/>
      <right/>
      <top/>
      <bottom style="medium">
        <color theme="9" tint="-0.499984740745262"/>
      </bottom>
      <diagonal/>
    </border>
    <border>
      <left/>
      <right style="medium">
        <color theme="9" tint="-0.499984740745262"/>
      </right>
      <top/>
      <bottom style="medium">
        <color theme="9" tint="-0.499984740745262"/>
      </bottom>
      <diagonal/>
    </border>
    <border>
      <left style="medium">
        <color theme="9" tint="-0.499984740745262"/>
      </left>
      <right/>
      <top/>
      <bottom/>
      <diagonal/>
    </border>
    <border>
      <left/>
      <right style="medium">
        <color theme="9" tint="-0.499984740745262"/>
      </right>
      <top/>
      <bottom/>
      <diagonal/>
    </border>
    <border>
      <left style="medium">
        <color theme="9" tint="-0.499984740745262"/>
      </left>
      <right/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medium">
        <color theme="9" tint="-0.499984740745262"/>
      </top>
      <bottom style="medium">
        <color theme="9" tint="-0.499984740745262"/>
      </bottom>
      <diagonal/>
    </border>
    <border>
      <left/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 style="medium">
        <color theme="9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zoomScale="70" zoomScaleNormal="70" workbookViewId="0">
      <selection activeCell="D4" sqref="D4"/>
    </sheetView>
  </sheetViews>
  <sheetFormatPr defaultColWidth="15.88671875" defaultRowHeight="29.4" customHeight="1" x14ac:dyDescent="0.3"/>
  <cols>
    <col min="1" max="1" width="53.33203125" style="17" customWidth="1"/>
    <col min="2" max="16384" width="15.88671875" style="1"/>
  </cols>
  <sheetData>
    <row r="1" spans="1:10" ht="29.4" customHeight="1" thickBot="1" x14ac:dyDescent="0.35">
      <c r="C1" s="13"/>
      <c r="D1" s="3" t="s">
        <v>0</v>
      </c>
      <c r="E1" s="3" t="s">
        <v>1</v>
      </c>
      <c r="F1" s="4" t="s">
        <v>2</v>
      </c>
    </row>
    <row r="2" spans="1:10" ht="29.4" customHeight="1" x14ac:dyDescent="0.3">
      <c r="A2" s="18" t="s">
        <v>5</v>
      </c>
      <c r="B2" s="3"/>
      <c r="C2" s="13" t="s">
        <v>3</v>
      </c>
      <c r="D2" s="3">
        <v>500</v>
      </c>
      <c r="E2" s="3">
        <v>500</v>
      </c>
      <c r="F2" s="4">
        <v>0</v>
      </c>
    </row>
    <row r="3" spans="1:10" ht="29.4" customHeight="1" thickBot="1" x14ac:dyDescent="0.35">
      <c r="A3" s="19"/>
      <c r="B3" s="6"/>
      <c r="C3" s="14" t="s">
        <v>4</v>
      </c>
      <c r="D3" s="9">
        <v>1000</v>
      </c>
      <c r="E3" s="9">
        <v>1000</v>
      </c>
      <c r="F3" s="10">
        <v>1000</v>
      </c>
    </row>
    <row r="4" spans="1:10" ht="29.4" customHeight="1" x14ac:dyDescent="0.3">
      <c r="A4" s="18" t="s">
        <v>8</v>
      </c>
      <c r="B4" s="3"/>
      <c r="C4" s="2" t="s">
        <v>6</v>
      </c>
      <c r="D4" s="2">
        <f>(G4-D6)/$J4</f>
        <v>-0.33333333333333331</v>
      </c>
      <c r="E4" s="3">
        <f>(H4-E6)/$J4</f>
        <v>0.66666666666666663</v>
      </c>
      <c r="F4" s="4">
        <f>(I4-F6)/$J4</f>
        <v>-0.66666666666666663</v>
      </c>
      <c r="G4" s="1">
        <f>D10</f>
        <v>0</v>
      </c>
      <c r="H4" s="1">
        <f>E10</f>
        <v>2</v>
      </c>
      <c r="I4" s="1">
        <f>F10</f>
        <v>0</v>
      </c>
      <c r="J4" s="1">
        <f>SQRT((D6-G4)^2+(E6-H4)^2+(F6-I4)^2)</f>
        <v>3</v>
      </c>
    </row>
    <row r="5" spans="1:10" ht="29.4" customHeight="1" thickBot="1" x14ac:dyDescent="0.35">
      <c r="A5" s="19"/>
      <c r="B5" s="6"/>
      <c r="C5" s="5" t="s">
        <v>7</v>
      </c>
      <c r="D5" s="5">
        <f>(G5-D7)/$J5</f>
        <v>0</v>
      </c>
      <c r="E5" s="6">
        <f>(H5-E7)/$J5</f>
        <v>0</v>
      </c>
      <c r="F5" s="7">
        <f>(I5-F7)/$J5</f>
        <v>-1</v>
      </c>
      <c r="G5" s="1">
        <f>D10</f>
        <v>0</v>
      </c>
      <c r="H5" s="1">
        <f>E10</f>
        <v>2</v>
      </c>
      <c r="I5" s="1">
        <f>F10</f>
        <v>0</v>
      </c>
      <c r="J5" s="1">
        <f>SQRT((D7-G5)^2+(E7-H5)^2+(F7-I5)^2)</f>
        <v>2</v>
      </c>
    </row>
    <row r="6" spans="1:10" ht="29.4" customHeight="1" x14ac:dyDescent="0.3">
      <c r="A6" s="18" t="s">
        <v>24</v>
      </c>
      <c r="B6" s="3"/>
      <c r="C6" s="13" t="s">
        <v>9</v>
      </c>
      <c r="D6" s="9">
        <v>1</v>
      </c>
      <c r="E6" s="9">
        <v>0</v>
      </c>
      <c r="F6" s="10">
        <v>2</v>
      </c>
    </row>
    <row r="7" spans="1:10" ht="29.4" customHeight="1" thickBot="1" x14ac:dyDescent="0.35">
      <c r="A7" s="19"/>
      <c r="B7" s="6"/>
      <c r="C7" s="14" t="s">
        <v>10</v>
      </c>
      <c r="D7" s="6">
        <v>0</v>
      </c>
      <c r="E7" s="6">
        <v>2</v>
      </c>
      <c r="F7" s="7">
        <v>2</v>
      </c>
    </row>
    <row r="8" spans="1:10" ht="29.4" customHeight="1" x14ac:dyDescent="0.3">
      <c r="A8" s="18" t="s">
        <v>23</v>
      </c>
      <c r="B8" s="3"/>
      <c r="C8" s="13" t="s">
        <v>11</v>
      </c>
      <c r="D8" s="2">
        <v>0</v>
      </c>
      <c r="E8" s="3">
        <v>0</v>
      </c>
      <c r="F8" s="4">
        <v>0</v>
      </c>
    </row>
    <row r="9" spans="1:10" ht="29.4" customHeight="1" x14ac:dyDescent="0.3">
      <c r="A9" s="22"/>
      <c r="B9" s="9"/>
      <c r="C9" s="16" t="s">
        <v>12</v>
      </c>
      <c r="D9" s="8">
        <v>2</v>
      </c>
      <c r="E9" s="9">
        <v>0</v>
      </c>
      <c r="F9" s="10">
        <v>0</v>
      </c>
    </row>
    <row r="10" spans="1:10" ht="29.4" customHeight="1" thickBot="1" x14ac:dyDescent="0.35">
      <c r="A10" s="19"/>
      <c r="B10" s="6"/>
      <c r="C10" s="14" t="s">
        <v>13</v>
      </c>
      <c r="D10" s="5">
        <v>0</v>
      </c>
      <c r="E10" s="6">
        <v>2</v>
      </c>
      <c r="F10" s="7">
        <v>0</v>
      </c>
    </row>
    <row r="11" spans="1:10" ht="29.4" customHeight="1" x14ac:dyDescent="0.3">
      <c r="A11" s="18" t="s">
        <v>19</v>
      </c>
      <c r="B11" s="3"/>
      <c r="C11" s="16" t="s">
        <v>27</v>
      </c>
      <c r="D11" s="3">
        <v>0</v>
      </c>
      <c r="E11" s="3">
        <v>1</v>
      </c>
      <c r="F11" s="4"/>
    </row>
    <row r="12" spans="1:10" ht="29.4" customHeight="1" x14ac:dyDescent="0.3">
      <c r="A12" s="21"/>
      <c r="B12" s="9"/>
      <c r="C12" s="16" t="s">
        <v>28</v>
      </c>
      <c r="D12" s="9">
        <v>0.25</v>
      </c>
      <c r="E12" s="9">
        <v>0.75</v>
      </c>
      <c r="F12" s="10"/>
    </row>
    <row r="13" spans="1:10" ht="29.4" customHeight="1" x14ac:dyDescent="0.3">
      <c r="A13" s="21"/>
      <c r="B13" s="9"/>
      <c r="C13" s="16" t="s">
        <v>29</v>
      </c>
      <c r="D13" s="9">
        <v>0.5</v>
      </c>
      <c r="E13" s="9">
        <v>0.5</v>
      </c>
      <c r="F13" s="10"/>
    </row>
    <row r="14" spans="1:10" ht="29.4" customHeight="1" x14ac:dyDescent="0.3">
      <c r="A14" s="21"/>
      <c r="B14" s="9"/>
      <c r="C14" s="16" t="s">
        <v>30</v>
      </c>
      <c r="D14" s="9">
        <v>0.75</v>
      </c>
      <c r="E14" s="9">
        <v>0.25</v>
      </c>
      <c r="F14" s="10"/>
    </row>
    <row r="15" spans="1:10" ht="29.4" customHeight="1" thickBot="1" x14ac:dyDescent="0.35">
      <c r="A15" s="21"/>
      <c r="B15" s="9"/>
      <c r="C15" s="16" t="s">
        <v>31</v>
      </c>
      <c r="D15" s="9">
        <v>1</v>
      </c>
      <c r="E15" s="9">
        <v>0</v>
      </c>
      <c r="F15" s="10"/>
    </row>
    <row r="16" spans="1:10" ht="29.4" customHeight="1" thickBot="1" x14ac:dyDescent="0.35">
      <c r="A16" s="20" t="s">
        <v>25</v>
      </c>
      <c r="B16" s="11"/>
      <c r="C16" s="15" t="s">
        <v>14</v>
      </c>
      <c r="D16" s="11">
        <v>2</v>
      </c>
      <c r="E16" s="11">
        <v>2</v>
      </c>
      <c r="F16" s="12">
        <v>2</v>
      </c>
    </row>
    <row r="17" spans="1:6" ht="29.4" customHeight="1" thickBot="1" x14ac:dyDescent="0.35">
      <c r="A17" s="20" t="s">
        <v>26</v>
      </c>
      <c r="B17" s="11"/>
      <c r="C17" s="15" t="s">
        <v>15</v>
      </c>
      <c r="D17" s="11">
        <v>1</v>
      </c>
      <c r="E17" s="11">
        <v>0</v>
      </c>
      <c r="F17" s="12">
        <v>0</v>
      </c>
    </row>
    <row r="18" spans="1:6" ht="29.4" customHeight="1" thickBot="1" x14ac:dyDescent="0.35">
      <c r="A18" s="20" t="s">
        <v>20</v>
      </c>
      <c r="B18" s="11"/>
      <c r="C18" s="15" t="s">
        <v>16</v>
      </c>
      <c r="D18" s="11">
        <v>0.5</v>
      </c>
      <c r="E18" s="11"/>
      <c r="F18" s="12"/>
    </row>
    <row r="19" spans="1:6" ht="29.4" customHeight="1" thickBot="1" x14ac:dyDescent="0.35">
      <c r="A19" s="20" t="s">
        <v>21</v>
      </c>
      <c r="B19" s="11"/>
      <c r="C19" s="15" t="s">
        <v>17</v>
      </c>
      <c r="D19" s="11">
        <v>0.5</v>
      </c>
      <c r="E19" s="11"/>
      <c r="F19" s="12"/>
    </row>
    <row r="20" spans="1:6" ht="29.4" customHeight="1" thickBot="1" x14ac:dyDescent="0.35">
      <c r="A20" s="20" t="s">
        <v>22</v>
      </c>
      <c r="B20" s="11"/>
      <c r="C20" s="15" t="s">
        <v>18</v>
      </c>
      <c r="D20" s="11">
        <v>200</v>
      </c>
      <c r="E20" s="11"/>
      <c r="F20" s="1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A2855-9629-4837-9D49-F6C1CC803253}">
  <dimension ref="A1:C11"/>
  <sheetViews>
    <sheetView tabSelected="1" workbookViewId="0">
      <selection activeCell="C1" sqref="C1"/>
    </sheetView>
  </sheetViews>
  <sheetFormatPr defaultColWidth="22.88671875" defaultRowHeight="35.4" customHeight="1" x14ac:dyDescent="0.3"/>
  <cols>
    <col min="1" max="1" width="10.88671875" style="1" customWidth="1"/>
    <col min="2" max="2" width="70.44140625" style="17" customWidth="1"/>
    <col min="3" max="3" width="36" style="1" customWidth="1"/>
    <col min="4" max="16384" width="22.88671875" style="1"/>
  </cols>
  <sheetData>
    <row r="1" spans="1:3" ht="35.4" customHeight="1" x14ac:dyDescent="0.3">
      <c r="A1" s="1" t="s">
        <v>49</v>
      </c>
      <c r="B1" s="17" t="s">
        <v>50</v>
      </c>
      <c r="C1" s="1" t="s">
        <v>51</v>
      </c>
    </row>
    <row r="2" spans="1:3" ht="35.4" customHeight="1" x14ac:dyDescent="0.3">
      <c r="A2" s="1">
        <v>1</v>
      </c>
      <c r="B2" s="17" t="s">
        <v>32</v>
      </c>
      <c r="C2" s="1" t="s">
        <v>35</v>
      </c>
    </row>
    <row r="3" spans="1:3" ht="35.4" customHeight="1" x14ac:dyDescent="0.3">
      <c r="A3" s="1">
        <v>2</v>
      </c>
      <c r="B3" s="17" t="s">
        <v>36</v>
      </c>
      <c r="C3" s="1" t="s">
        <v>37</v>
      </c>
    </row>
    <row r="4" spans="1:3" ht="35.4" customHeight="1" x14ac:dyDescent="0.3">
      <c r="A4" s="1">
        <v>3</v>
      </c>
      <c r="B4" s="17" t="s">
        <v>33</v>
      </c>
      <c r="C4" s="1" t="s">
        <v>37</v>
      </c>
    </row>
    <row r="5" spans="1:3" ht="35.4" customHeight="1" x14ac:dyDescent="0.3">
      <c r="A5" s="1">
        <v>4</v>
      </c>
      <c r="B5" s="17" t="s">
        <v>42</v>
      </c>
      <c r="C5" s="1" t="s">
        <v>34</v>
      </c>
    </row>
    <row r="6" spans="1:3" ht="35.4" customHeight="1" x14ac:dyDescent="0.3">
      <c r="A6" s="1">
        <v>6</v>
      </c>
      <c r="B6" s="17" t="s">
        <v>41</v>
      </c>
      <c r="C6" s="1" t="s">
        <v>37</v>
      </c>
    </row>
    <row r="7" spans="1:3" ht="35.4" customHeight="1" x14ac:dyDescent="0.3">
      <c r="A7" s="1">
        <v>7</v>
      </c>
      <c r="B7" s="17" t="s">
        <v>40</v>
      </c>
      <c r="C7" s="1" t="s">
        <v>38</v>
      </c>
    </row>
    <row r="8" spans="1:3" ht="35.4" customHeight="1" x14ac:dyDescent="0.3">
      <c r="A8" s="1">
        <v>8</v>
      </c>
      <c r="B8" s="17" t="s">
        <v>43</v>
      </c>
    </row>
    <row r="9" spans="1:3" ht="35.4" customHeight="1" x14ac:dyDescent="0.3">
      <c r="A9" s="1">
        <v>9</v>
      </c>
      <c r="B9" s="17" t="s">
        <v>39</v>
      </c>
      <c r="C9" s="1" t="s">
        <v>44</v>
      </c>
    </row>
    <row r="10" spans="1:3" ht="35.4" customHeight="1" x14ac:dyDescent="0.3">
      <c r="A10" s="1">
        <v>10</v>
      </c>
      <c r="B10" s="17" t="s">
        <v>45</v>
      </c>
      <c r="C10" s="1" t="s">
        <v>46</v>
      </c>
    </row>
    <row r="11" spans="1:3" ht="35.4" customHeight="1" x14ac:dyDescent="0.3">
      <c r="A11" s="1">
        <v>11</v>
      </c>
      <c r="B11" s="17" t="s">
        <v>48</v>
      </c>
      <c r="C11" s="1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Данис Ахмадеев</dc:creator>
  <cp:lastModifiedBy>Данис Ахмадеев</cp:lastModifiedBy>
  <dcterms:created xsi:type="dcterms:W3CDTF">2015-06-05T18:19:34Z</dcterms:created>
  <dcterms:modified xsi:type="dcterms:W3CDTF">2026-03-22T22:23:40Z</dcterms:modified>
</cp:coreProperties>
</file>